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FelipeMunhoz18-Bravo-Vargas-Munoz-Docs\Fase 3\Evidencias del Proyecto\"/>
    </mc:Choice>
  </mc:AlternateContent>
  <xr:revisionPtr revIDLastSave="0" documentId="13_ncr:1_{6E23DD61-555C-4FA1-9D8F-67FD4DC8487D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Plan de costos" sheetId="1" r:id="rId1"/>
    <sheet name="Flujo de caj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6" roundtripDataSignature="AMtx7mhCchRRtIE0sxrJliI97wq0TKAY+Q=="/>
    </ext>
  </extLst>
</workbook>
</file>

<file path=xl/calcChain.xml><?xml version="1.0" encoding="utf-8"?>
<calcChain xmlns="http://schemas.openxmlformats.org/spreadsheetml/2006/main">
  <c r="E16" i="1" l="1"/>
  <c r="C16" i="1"/>
  <c r="B16" i="1"/>
  <c r="E47" i="2"/>
  <c r="E46" i="2"/>
  <c r="C46" i="2"/>
  <c r="I45" i="2"/>
  <c r="C45" i="2"/>
  <c r="L44" i="2"/>
  <c r="I44" i="2"/>
  <c r="F42" i="2"/>
  <c r="E42" i="2"/>
  <c r="D42" i="2"/>
  <c r="C42" i="2"/>
  <c r="B42" i="2"/>
  <c r="D41" i="2"/>
  <c r="B41" i="2"/>
  <c r="I40" i="2"/>
  <c r="F39" i="2"/>
  <c r="E39" i="2"/>
  <c r="L38" i="2"/>
  <c r="I38" i="2"/>
  <c r="D27" i="2"/>
  <c r="C27" i="2"/>
  <c r="D26" i="2"/>
  <c r="B26" i="2"/>
  <c r="O22" i="2"/>
  <c r="N22" i="2"/>
  <c r="M22" i="2"/>
  <c r="L22" i="2"/>
  <c r="K22" i="2"/>
  <c r="J22" i="2"/>
  <c r="I22" i="2"/>
  <c r="H22" i="2"/>
  <c r="G22" i="2"/>
  <c r="F22" i="2"/>
  <c r="F49" i="2" s="1"/>
  <c r="E22" i="2"/>
  <c r="E49" i="2" s="1"/>
  <c r="D22" i="2"/>
  <c r="D49" i="2" s="1"/>
  <c r="C22" i="2"/>
  <c r="C49" i="2" s="1"/>
  <c r="O21" i="2"/>
  <c r="N21" i="2"/>
  <c r="M21" i="2"/>
  <c r="L21" i="2"/>
  <c r="K21" i="2"/>
  <c r="J21" i="2"/>
  <c r="I21" i="2"/>
  <c r="H21" i="2"/>
  <c r="G21" i="2"/>
  <c r="F21" i="2"/>
  <c r="F48" i="2" s="1"/>
  <c r="E21" i="2"/>
  <c r="E48" i="2" s="1"/>
  <c r="D21" i="2"/>
  <c r="D48" i="2" s="1"/>
  <c r="C21" i="2"/>
  <c r="C48" i="2" s="1"/>
  <c r="B21" i="2"/>
  <c r="B48" i="2" s="1"/>
  <c r="O20" i="2"/>
  <c r="N20" i="2"/>
  <c r="M20" i="2"/>
  <c r="L20" i="2"/>
  <c r="K20" i="2"/>
  <c r="J20" i="2"/>
  <c r="I20" i="2"/>
  <c r="H20" i="2"/>
  <c r="G20" i="2"/>
  <c r="E20" i="2"/>
  <c r="D20" i="2"/>
  <c r="D47" i="2" s="1"/>
  <c r="C20" i="2"/>
  <c r="C47" i="2" s="1"/>
  <c r="B20" i="2"/>
  <c r="B47" i="2" s="1"/>
  <c r="O19" i="2"/>
  <c r="N19" i="2"/>
  <c r="M19" i="2"/>
  <c r="L19" i="2"/>
  <c r="K19" i="2"/>
  <c r="J19" i="2"/>
  <c r="I19" i="2"/>
  <c r="H19" i="2"/>
  <c r="G19" i="2"/>
  <c r="F19" i="2"/>
  <c r="F46" i="2" s="1"/>
  <c r="E19" i="2"/>
  <c r="C19" i="2"/>
  <c r="B19" i="2"/>
  <c r="B46" i="2" s="1"/>
  <c r="O18" i="2"/>
  <c r="N18" i="2"/>
  <c r="M18" i="2"/>
  <c r="L18" i="2"/>
  <c r="K18" i="2"/>
  <c r="J18" i="2"/>
  <c r="I18" i="2"/>
  <c r="H18" i="2"/>
  <c r="G18" i="2"/>
  <c r="F18" i="2"/>
  <c r="F45" i="2" s="1"/>
  <c r="E18" i="2"/>
  <c r="E45" i="2" s="1"/>
  <c r="D18" i="2"/>
  <c r="D45" i="2" s="1"/>
  <c r="C18" i="2"/>
  <c r="O14" i="2"/>
  <c r="N14" i="2"/>
  <c r="M14" i="2"/>
  <c r="L14" i="2"/>
  <c r="K14" i="2"/>
  <c r="J14" i="2"/>
  <c r="I14" i="2"/>
  <c r="H14" i="2"/>
  <c r="G14" i="2"/>
  <c r="P13" i="2"/>
  <c r="I43" i="2" s="1"/>
  <c r="F12" i="2"/>
  <c r="F41" i="2" s="1"/>
  <c r="E12" i="2"/>
  <c r="E41" i="2" s="1"/>
  <c r="D12" i="2"/>
  <c r="C12" i="2"/>
  <c r="C41" i="2" s="1"/>
  <c r="B12" i="2"/>
  <c r="F10" i="2"/>
  <c r="E10" i="2"/>
  <c r="D10" i="2"/>
  <c r="D39" i="2" s="1"/>
  <c r="C10" i="2"/>
  <c r="C39" i="2" s="1"/>
  <c r="S1" i="2"/>
  <c r="D26" i="1"/>
  <c r="D25" i="1"/>
  <c r="D24" i="1"/>
  <c r="D21" i="1"/>
  <c r="D20" i="1"/>
  <c r="D19" i="1"/>
  <c r="D18" i="1"/>
  <c r="C18" i="1"/>
  <c r="E15" i="1"/>
  <c r="E14" i="1"/>
  <c r="E13" i="1"/>
  <c r="E12" i="1"/>
  <c r="F8" i="1"/>
  <c r="F7" i="1"/>
  <c r="F6" i="1"/>
  <c r="F5" i="1"/>
  <c r="F4" i="1"/>
  <c r="I7" i="1" l="1"/>
  <c r="I6" i="1"/>
  <c r="C30" i="2" s="1"/>
  <c r="B30" i="2" s="1"/>
  <c r="B11" i="2" s="1"/>
  <c r="B10" i="2"/>
  <c r="P10" i="2" s="1"/>
  <c r="I4" i="1"/>
  <c r="B28" i="2" s="1"/>
  <c r="D9" i="2" s="1"/>
  <c r="I5" i="1"/>
  <c r="P12" i="2"/>
  <c r="F11" i="2" l="1"/>
  <c r="F40" i="2" s="1"/>
  <c r="D11" i="2"/>
  <c r="D40" i="2" s="1"/>
  <c r="C11" i="2"/>
  <c r="C40" i="2" s="1"/>
  <c r="E11" i="2"/>
  <c r="E40" i="2" s="1"/>
  <c r="B39" i="2"/>
  <c r="B9" i="2"/>
  <c r="B38" i="2" s="1"/>
  <c r="C9" i="2"/>
  <c r="C38" i="2" s="1"/>
  <c r="I8" i="1"/>
  <c r="B3" i="2" s="1"/>
  <c r="I39" i="2" s="1"/>
  <c r="E9" i="2"/>
  <c r="F9" i="2"/>
  <c r="F38" i="2" s="1"/>
  <c r="B40" i="2"/>
  <c r="D38" i="2"/>
  <c r="D14" i="2" l="1"/>
  <c r="D43" i="2" s="1"/>
  <c r="P11" i="2"/>
  <c r="E14" i="2"/>
  <c r="E43" i="2" s="1"/>
  <c r="B32" i="2"/>
  <c r="D19" i="2" s="1"/>
  <c r="D46" i="2" s="1"/>
  <c r="C14" i="2"/>
  <c r="C43" i="2" s="1"/>
  <c r="F14" i="2"/>
  <c r="F43" i="2" s="1"/>
  <c r="E38" i="2"/>
  <c r="B14" i="2"/>
  <c r="B43" i="2" s="1"/>
  <c r="P9" i="2"/>
  <c r="B33" i="2" l="1"/>
  <c r="F20" i="2" s="1"/>
  <c r="F47" i="2" s="1"/>
  <c r="B18" i="2"/>
  <c r="B22" i="2" s="1"/>
  <c r="B45" i="2" l="1"/>
  <c r="B49" i="2"/>
  <c r="B24" i="2"/>
  <c r="B50" i="2" l="1"/>
  <c r="C24" i="2"/>
  <c r="S2" i="2"/>
  <c r="C50" i="2" l="1"/>
  <c r="D24" i="2"/>
  <c r="S3" i="2"/>
  <c r="L39" i="2"/>
  <c r="L40" i="2" l="1"/>
  <c r="D50" i="2"/>
  <c r="S4" i="2"/>
  <c r="E24" i="2"/>
  <c r="L41" i="2" l="1"/>
  <c r="E50" i="2"/>
  <c r="S5" i="2"/>
  <c r="L42" i="2" s="1"/>
  <c r="F24" i="2"/>
  <c r="S6" i="2" l="1"/>
  <c r="S21" i="2" s="1"/>
  <c r="L45" i="2" s="1"/>
  <c r="G24" i="2"/>
  <c r="F50" i="2"/>
  <c r="H24" i="2" l="1"/>
  <c r="S7" i="2"/>
  <c r="L43" i="2"/>
  <c r="S22" i="2" a="1"/>
  <c r="S22" i="2" s="1"/>
  <c r="L46" i="2" s="1"/>
  <c r="S8" i="2" l="1"/>
  <c r="I24" i="2"/>
  <c r="J24" i="2" l="1"/>
  <c r="S9" i="2"/>
  <c r="S10" i="2" l="1"/>
  <c r="K24" i="2"/>
  <c r="S11" i="2" l="1"/>
  <c r="L24" i="2"/>
  <c r="S12" i="2" l="1"/>
  <c r="M24" i="2"/>
  <c r="S13" i="2" l="1"/>
  <c r="N24" i="2"/>
  <c r="O24" i="2" l="1"/>
  <c r="S15" i="2" s="1"/>
  <c r="S14" i="2"/>
</calcChain>
</file>

<file path=xl/sharedStrings.xml><?xml version="1.0" encoding="utf-8"?>
<sst xmlns="http://schemas.openxmlformats.org/spreadsheetml/2006/main" count="153" uniqueCount="108">
  <si>
    <t>Costos RRHH</t>
  </si>
  <si>
    <t>Personal</t>
  </si>
  <si>
    <t>Pago x hora</t>
  </si>
  <si>
    <t>Aguinaldo</t>
  </si>
  <si>
    <t>Cantidad horas</t>
  </si>
  <si>
    <t>Total</t>
  </si>
  <si>
    <t>Item</t>
  </si>
  <si>
    <t>Scrum Master</t>
  </si>
  <si>
    <t>Felipe Araneda</t>
  </si>
  <si>
    <t>Elvis Olmedo</t>
  </si>
  <si>
    <t>Equipos e infraestructura</t>
  </si>
  <si>
    <t>Vicente Valdés</t>
  </si>
  <si>
    <t>Gastos generales e improvistos</t>
  </si>
  <si>
    <t>Juan Cabrera</t>
  </si>
  <si>
    <t>Gastos comunes</t>
  </si>
  <si>
    <t>Diego Lucero</t>
  </si>
  <si>
    <t>Descripción</t>
  </si>
  <si>
    <t>Costo unitario o por mes</t>
  </si>
  <si>
    <t>Cantidad unidad o mes</t>
  </si>
  <si>
    <t>Notebooks</t>
  </si>
  <si>
    <t>Equipos para desarollar</t>
  </si>
  <si>
    <t>Perifericos</t>
  </si>
  <si>
    <t>Mouse</t>
  </si>
  <si>
    <t>Sillas de escritorio</t>
  </si>
  <si>
    <t>Oficina</t>
  </si>
  <si>
    <t>Lugar de desarrollo y reunion</t>
  </si>
  <si>
    <t>Gastos generales e imprevistos</t>
  </si>
  <si>
    <t>Precio unitario</t>
  </si>
  <si>
    <t>Cantidad</t>
  </si>
  <si>
    <t>Transporte</t>
  </si>
  <si>
    <t>Desayuno</t>
  </si>
  <si>
    <t>Almuerzo</t>
  </si>
  <si>
    <t>Reserva de emergencia</t>
  </si>
  <si>
    <t>Cantidad de meses</t>
  </si>
  <si>
    <t>Agua</t>
  </si>
  <si>
    <t>Luz</t>
  </si>
  <si>
    <t>Gas</t>
  </si>
  <si>
    <t>Internet</t>
  </si>
  <si>
    <t>Antedecentes</t>
  </si>
  <si>
    <t>Inversion</t>
  </si>
  <si>
    <t>Presupuesto</t>
  </si>
  <si>
    <t>EL PRESTAMO FUE SOLICITADO EL MES DE AGOSTO Y SE OPTO POR ELEGIR EL MES DE SEPTIEMPRE PARA EL NO PAGO POR LO QUE SE TERMINARÁ DE PAGAR EL CREDITO EN EL MES 14</t>
  </si>
  <si>
    <t>Flujo 1</t>
  </si>
  <si>
    <t>Costo del proyecto</t>
  </si>
  <si>
    <t>Flujo 2</t>
  </si>
  <si>
    <t>Prestamo a solicitar</t>
  </si>
  <si>
    <t>Flujo 3</t>
  </si>
  <si>
    <t>Flujo 4</t>
  </si>
  <si>
    <t>Flujo 5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</si>
  <si>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</si>
  <si>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</si>
  <si>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</si>
  <si>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</si>
  <si>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</si>
  <si>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</si>
  <si>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</si>
  <si>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</si>
  <si>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</si>
  <si>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</si>
  <si>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</si>
  <si>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</si>
  <si>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Mes 13</t>
  </si>
  <si>
    <t>Mes 14</t>
  </si>
  <si>
    <t>Flujo 6</t>
  </si>
  <si>
    <t>Egresos</t>
  </si>
  <si>
    <t>Flujo 7</t>
  </si>
  <si>
    <t>Flujo 8</t>
  </si>
  <si>
    <t>Flujo 9</t>
  </si>
  <si>
    <t>Flujo 10</t>
  </si>
  <si>
    <t>Flujo 11</t>
  </si>
  <si>
    <t>Pago credito</t>
  </si>
  <si>
    <t>Flujo 12</t>
  </si>
  <si>
    <t>Total egresos</t>
  </si>
  <si>
    <t>Flujo 13</t>
  </si>
  <si>
    <t>Flujo 14</t>
  </si>
  <si>
    <t>Se acordó con el cliente realizar el pago del proyecto en 3 cuotas, la primera el inicio del mismo de un 25%, la segunda en el tercer mes de 25%, y la ultima en la entrega del proyecto del 50%</t>
  </si>
  <si>
    <t>Ingresos</t>
  </si>
  <si>
    <t>Cuota 1 pago proyecto</t>
  </si>
  <si>
    <t>Cuota 2 pago proyecto</t>
  </si>
  <si>
    <t>Tasa de descuento</t>
  </si>
  <si>
    <t>Cuota 3 pago proyecto</t>
  </si>
  <si>
    <t>Prestamo</t>
  </si>
  <si>
    <t>TIR</t>
  </si>
  <si>
    <t>Total ingresos</t>
  </si>
  <si>
    <t>VAN</t>
  </si>
  <si>
    <t>Flujo</t>
  </si>
  <si>
    <t>total semanas de trabajo</t>
  </si>
  <si>
    <t>EL PROYECTO FINALIZA EN EL MES 5 PERO EL CREDITO SE SEGUIRÁ PAGANDO HASTA EL MES 14, POR LO QUE HAY UN MARGEN DE 6 MESES PARA ENCONTRAR</t>
  </si>
  <si>
    <t>horas de trabajo por semana</t>
  </si>
  <si>
    <t>UN NUEVO PROYECTO Y TERMINAR DE PAGAR EL PRIMER PRESTAMO</t>
  </si>
  <si>
    <t>costo RRHH por semana</t>
  </si>
  <si>
    <t>gastos equipos e infraestructura</t>
  </si>
  <si>
    <t>gastos generales e improvistos</t>
  </si>
  <si>
    <t>Tasa de interés Anual: 21,72%</t>
  </si>
  <si>
    <t>cuota 1 y 2 del proyecto</t>
  </si>
  <si>
    <t>cuota 3</t>
  </si>
  <si>
    <t>Dashboard</t>
  </si>
  <si>
    <t>Cuotas</t>
  </si>
  <si>
    <t>Costo total crédito</t>
  </si>
  <si>
    <t>Valor Cuota</t>
  </si>
  <si>
    <t>Interés</t>
  </si>
  <si>
    <t>QA</t>
  </si>
  <si>
    <t>Desarrollador 1</t>
  </si>
  <si>
    <t>Desarrollador 2</t>
  </si>
  <si>
    <t>Vendedor</t>
  </si>
  <si>
    <t>computador</t>
  </si>
  <si>
    <t>supuesto</t>
  </si>
  <si>
    <t>20 dias habiles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</si>
</sst>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6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rgb="FF000000"/>
      <name val="Calibri"/>
    </font>
    <font>
      <sz val="11"/>
      <color theme="1"/>
      <name val="Calibri"/>
    </font>
    <font>
      <sz val="11"/>
      <color rgb="FFFF0000"/>
      <name val="Calibri"/>
    </font>
    <font>
      <sz val="11"/>
      <color rgb="FF000000"/>
      <name val="Inconsolata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1" fillId="3" borderId="1" xfId="0" applyFont="1" applyFill="1" applyBorder="1"/>
    <xf numFmtId="0" fontId="2" fillId="4" borderId="1" xfId="0" applyFont="1" applyFill="1" applyBorder="1"/>
    <xf numFmtId="42" fontId="2" fillId="4" borderId="1" xfId="0" applyNumberFormat="1" applyFont="1" applyFill="1" applyBorder="1"/>
    <xf numFmtId="42" fontId="3" fillId="0" borderId="1" xfId="0" applyNumberFormat="1" applyFont="1" applyBorder="1"/>
    <xf numFmtId="0" fontId="1" fillId="0" borderId="1" xfId="0" applyFont="1" applyBorder="1"/>
    <xf numFmtId="0" fontId="1" fillId="2" borderId="1" xfId="0" applyFont="1" applyFill="1" applyBorder="1"/>
    <xf numFmtId="42" fontId="3" fillId="0" borderId="0" xfId="0" applyNumberFormat="1" applyFont="1"/>
    <xf numFmtId="42" fontId="1" fillId="0" borderId="1" xfId="0" applyNumberFormat="1" applyFont="1" applyBorder="1"/>
    <xf numFmtId="0" fontId="4" fillId="0" borderId="0" xfId="0" applyFont="1"/>
    <xf numFmtId="4" fontId="1" fillId="0" borderId="1" xfId="0" applyNumberFormat="1" applyFont="1" applyBorder="1"/>
    <xf numFmtId="1" fontId="3" fillId="0" borderId="1" xfId="0" applyNumberFormat="1" applyFont="1" applyBorder="1"/>
    <xf numFmtId="4" fontId="5" fillId="4" borderId="1" xfId="0" applyNumberFormat="1" applyFont="1" applyFill="1" applyBorder="1"/>
    <xf numFmtId="0" fontId="1" fillId="0" borderId="0" xfId="0" applyFont="1"/>
    <xf numFmtId="42" fontId="3" fillId="2" borderId="1" xfId="0" applyNumberFormat="1" applyFont="1" applyFill="1" applyBorder="1"/>
    <xf numFmtId="0" fontId="0" fillId="0" borderId="2" xfId="0" applyBorder="1"/>
    <xf numFmtId="42" fontId="3" fillId="0" borderId="2" xfId="0" applyNumberFormat="1" applyFont="1" applyBorder="1"/>
    <xf numFmtId="4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abSelected="1" topLeftCell="A10" workbookViewId="0">
      <selection activeCell="C24" sqref="C24"/>
    </sheetView>
  </sheetViews>
  <sheetFormatPr baseColWidth="10" defaultColWidth="14.44140625" defaultRowHeight="15" customHeight="1" x14ac:dyDescent="0.3"/>
  <cols>
    <col min="1" max="1" width="26.33203125" customWidth="1"/>
    <col min="2" max="2" width="25.109375" customWidth="1"/>
    <col min="3" max="3" width="21.33203125" customWidth="1"/>
    <col min="4" max="4" width="19.88671875" customWidth="1"/>
    <col min="5" max="5" width="13.33203125" customWidth="1"/>
    <col min="6" max="6" width="11" customWidth="1"/>
    <col min="7" max="7" width="8.88671875" customWidth="1"/>
    <col min="8" max="8" width="26.44140625" customWidth="1"/>
    <col min="9" max="9" width="12" customWidth="1"/>
    <col min="10" max="26" width="8.88671875" customWidth="1"/>
  </cols>
  <sheetData>
    <row r="1" spans="1:9" ht="14.25" customHeight="1" x14ac:dyDescent="0.3"/>
    <row r="2" spans="1:9" ht="14.25" customHeight="1" x14ac:dyDescent="0.3"/>
    <row r="3" spans="1:9" ht="14.25" customHeight="1" x14ac:dyDescent="0.3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/>
      <c r="H3" s="2" t="s">
        <v>6</v>
      </c>
      <c r="I3" s="2" t="s">
        <v>5</v>
      </c>
    </row>
    <row r="4" spans="1:9" ht="14.25" customHeight="1" x14ac:dyDescent="0.3">
      <c r="A4" s="3" t="s">
        <v>7</v>
      </c>
      <c r="B4" s="3" t="s">
        <v>8</v>
      </c>
      <c r="C4" s="4">
        <v>10000</v>
      </c>
      <c r="D4" s="5">
        <v>70000</v>
      </c>
      <c r="E4" s="6">
        <v>160</v>
      </c>
      <c r="F4" s="5">
        <f>(E4*C4)+D4</f>
        <v>1670000</v>
      </c>
      <c r="G4" s="6"/>
      <c r="H4" s="6" t="s">
        <v>0</v>
      </c>
      <c r="I4" s="5">
        <f>F4+F5+F6+F7+F8</f>
        <v>6580000</v>
      </c>
    </row>
    <row r="5" spans="1:9" ht="14.25" customHeight="1" x14ac:dyDescent="0.3">
      <c r="A5" s="3" t="s">
        <v>102</v>
      </c>
      <c r="B5" s="3" t="s">
        <v>9</v>
      </c>
      <c r="C5" s="4">
        <v>8000</v>
      </c>
      <c r="D5" s="5">
        <v>50000</v>
      </c>
      <c r="E5" s="6">
        <v>160</v>
      </c>
      <c r="F5" s="5">
        <f t="shared" ref="F5:F8" si="0">E5*C5+D5</f>
        <v>1330000</v>
      </c>
      <c r="G5" s="6"/>
      <c r="H5" s="6" t="s">
        <v>10</v>
      </c>
      <c r="I5" s="5">
        <f>E12+E13+E14+E15</f>
        <v>4699930</v>
      </c>
    </row>
    <row r="6" spans="1:9" ht="14.25" customHeight="1" x14ac:dyDescent="0.3">
      <c r="A6" s="3" t="s">
        <v>103</v>
      </c>
      <c r="B6" s="3" t="s">
        <v>11</v>
      </c>
      <c r="C6" s="4">
        <v>8000</v>
      </c>
      <c r="D6" s="5">
        <v>50000</v>
      </c>
      <c r="E6" s="6">
        <v>160</v>
      </c>
      <c r="F6" s="5">
        <f t="shared" si="0"/>
        <v>1330000</v>
      </c>
      <c r="G6" s="6"/>
      <c r="H6" s="6" t="s">
        <v>12</v>
      </c>
      <c r="I6" s="5">
        <f>D18+D19+D20+D21</f>
        <v>3820000</v>
      </c>
    </row>
    <row r="7" spans="1:9" ht="14.25" customHeight="1" x14ac:dyDescent="0.3">
      <c r="A7" s="3" t="s">
        <v>104</v>
      </c>
      <c r="B7" s="3" t="s">
        <v>13</v>
      </c>
      <c r="C7" s="4">
        <v>6000</v>
      </c>
      <c r="D7" s="5">
        <v>40000</v>
      </c>
      <c r="E7" s="6">
        <v>160</v>
      </c>
      <c r="F7" s="5">
        <f t="shared" si="0"/>
        <v>1000000</v>
      </c>
      <c r="G7" s="6"/>
      <c r="H7" s="6" t="s">
        <v>14</v>
      </c>
      <c r="I7" s="5">
        <f>D24+D25+D26+D27</f>
        <v>450000</v>
      </c>
    </row>
    <row r="8" spans="1:9" ht="14.25" customHeight="1" x14ac:dyDescent="0.3">
      <c r="A8" s="3" t="s">
        <v>101</v>
      </c>
      <c r="B8" s="3" t="s">
        <v>15</v>
      </c>
      <c r="C8" s="4">
        <v>7500</v>
      </c>
      <c r="D8" s="5">
        <v>50000</v>
      </c>
      <c r="E8" s="6">
        <v>160</v>
      </c>
      <c r="F8" s="5">
        <f t="shared" si="0"/>
        <v>1250000</v>
      </c>
      <c r="G8" s="6"/>
      <c r="H8" s="6"/>
      <c r="I8" s="5">
        <f>I4+I5+I6+I7</f>
        <v>15549930</v>
      </c>
    </row>
    <row r="9" spans="1:9" ht="14.25" customHeight="1" x14ac:dyDescent="0.3"/>
    <row r="10" spans="1:9" ht="14.25" customHeight="1" x14ac:dyDescent="0.3"/>
    <row r="11" spans="1:9" ht="14.25" customHeight="1" x14ac:dyDescent="0.3">
      <c r="A11" s="7" t="s">
        <v>10</v>
      </c>
      <c r="B11" s="2" t="s">
        <v>16</v>
      </c>
      <c r="C11" s="2" t="s">
        <v>17</v>
      </c>
      <c r="D11" s="2" t="s">
        <v>18</v>
      </c>
      <c r="E11" s="2" t="s">
        <v>5</v>
      </c>
    </row>
    <row r="12" spans="1:9" ht="14.25" customHeight="1" x14ac:dyDescent="0.3">
      <c r="A12" s="6" t="s">
        <v>19</v>
      </c>
      <c r="B12" s="6" t="s">
        <v>20</v>
      </c>
      <c r="C12" s="5">
        <v>649990</v>
      </c>
      <c r="D12" s="6">
        <v>2</v>
      </c>
      <c r="E12" s="5">
        <f t="shared" ref="E12:E15" si="1">C12*D12</f>
        <v>1299980</v>
      </c>
    </row>
    <row r="13" spans="1:9" ht="14.25" customHeight="1" x14ac:dyDescent="0.3">
      <c r="A13" s="6" t="s">
        <v>21</v>
      </c>
      <c r="B13" s="6" t="s">
        <v>22</v>
      </c>
      <c r="C13" s="5">
        <v>29990</v>
      </c>
      <c r="D13" s="6">
        <v>5</v>
      </c>
      <c r="E13" s="5">
        <f t="shared" si="1"/>
        <v>149950</v>
      </c>
    </row>
    <row r="14" spans="1:9" ht="14.25" customHeight="1" x14ac:dyDescent="0.3">
      <c r="A14" s="6" t="s">
        <v>23</v>
      </c>
      <c r="B14" s="6"/>
      <c r="C14" s="5">
        <v>50000</v>
      </c>
      <c r="D14" s="6">
        <v>5</v>
      </c>
      <c r="E14" s="5">
        <f t="shared" si="1"/>
        <v>250000</v>
      </c>
    </row>
    <row r="15" spans="1:9" ht="14.25" customHeight="1" x14ac:dyDescent="0.3">
      <c r="A15" s="6" t="s">
        <v>24</v>
      </c>
      <c r="B15" s="6" t="s">
        <v>25</v>
      </c>
      <c r="C15" s="5">
        <v>750000</v>
      </c>
      <c r="D15" s="6">
        <v>4</v>
      </c>
      <c r="E15" s="5">
        <f t="shared" si="1"/>
        <v>3000000</v>
      </c>
    </row>
    <row r="16" spans="1:9" ht="14.25" customHeight="1" x14ac:dyDescent="0.3">
      <c r="A16" s="16" t="s">
        <v>105</v>
      </c>
      <c r="B16" t="str">
        <f>B12</f>
        <v>Equipos para desarollar</v>
      </c>
      <c r="C16" s="17">
        <f>C15</f>
        <v>750000</v>
      </c>
      <c r="D16" s="16">
        <v>3</v>
      </c>
      <c r="E16" s="18">
        <f>C16*D16</f>
        <v>2250000</v>
      </c>
    </row>
    <row r="17" spans="1:7" ht="14.25" customHeight="1" x14ac:dyDescent="0.3">
      <c r="A17" s="7" t="s">
        <v>26</v>
      </c>
      <c r="B17" s="2" t="s">
        <v>27</v>
      </c>
      <c r="C17" s="2" t="s">
        <v>28</v>
      </c>
      <c r="D17" s="2" t="s">
        <v>5</v>
      </c>
    </row>
    <row r="18" spans="1:7" ht="14.25" customHeight="1" x14ac:dyDescent="0.3">
      <c r="A18" s="6" t="s">
        <v>29</v>
      </c>
      <c r="B18" s="5">
        <v>1600</v>
      </c>
      <c r="C18" s="6">
        <f>140*5</f>
        <v>700</v>
      </c>
      <c r="D18" s="5">
        <f t="shared" ref="D18:D21" si="2">C18*B18</f>
        <v>1120000</v>
      </c>
    </row>
    <row r="19" spans="1:7" ht="14.25" customHeight="1" x14ac:dyDescent="0.3">
      <c r="A19" s="6" t="s">
        <v>30</v>
      </c>
      <c r="B19" s="5">
        <v>2500</v>
      </c>
      <c r="C19" s="6">
        <v>100</v>
      </c>
      <c r="D19" s="5">
        <f t="shared" si="2"/>
        <v>250000</v>
      </c>
      <c r="F19" t="s">
        <v>106</v>
      </c>
      <c r="G19" t="s">
        <v>107</v>
      </c>
    </row>
    <row r="20" spans="1:7" ht="14.25" customHeight="1" x14ac:dyDescent="0.3">
      <c r="A20" s="6" t="s">
        <v>31</v>
      </c>
      <c r="B20" s="5">
        <v>4500</v>
      </c>
      <c r="C20" s="6">
        <v>100</v>
      </c>
      <c r="D20" s="5">
        <f t="shared" si="2"/>
        <v>450000</v>
      </c>
    </row>
    <row r="21" spans="1:7" ht="14.25" customHeight="1" x14ac:dyDescent="0.3">
      <c r="A21" s="6" t="s">
        <v>32</v>
      </c>
      <c r="B21" s="5">
        <v>2000000</v>
      </c>
      <c r="C21" s="6">
        <v>1</v>
      </c>
      <c r="D21" s="5">
        <f t="shared" si="2"/>
        <v>2000000</v>
      </c>
    </row>
    <row r="22" spans="1:7" ht="14.25" customHeight="1" x14ac:dyDescent="0.3">
      <c r="B22" s="8"/>
    </row>
    <row r="23" spans="1:7" ht="14.25" customHeight="1" x14ac:dyDescent="0.3">
      <c r="A23" s="7" t="s">
        <v>14</v>
      </c>
      <c r="B23" s="2" t="s">
        <v>27</v>
      </c>
      <c r="C23" s="2" t="s">
        <v>33</v>
      </c>
      <c r="D23" s="2" t="s">
        <v>5</v>
      </c>
    </row>
    <row r="24" spans="1:7" ht="14.25" customHeight="1" x14ac:dyDescent="0.3">
      <c r="A24" s="6" t="s">
        <v>34</v>
      </c>
      <c r="B24" s="5">
        <v>20000</v>
      </c>
      <c r="C24" s="6">
        <v>5</v>
      </c>
      <c r="D24" s="5">
        <f t="shared" ref="D24:D26" si="3">C24*B24</f>
        <v>100000</v>
      </c>
    </row>
    <row r="25" spans="1:7" ht="14.25" customHeight="1" x14ac:dyDescent="0.3">
      <c r="A25" s="6" t="s">
        <v>35</v>
      </c>
      <c r="B25" s="5">
        <v>35000</v>
      </c>
      <c r="C25" s="6">
        <v>5</v>
      </c>
      <c r="D25" s="5">
        <f t="shared" si="3"/>
        <v>175000</v>
      </c>
    </row>
    <row r="26" spans="1:7" ht="14.25" customHeight="1" x14ac:dyDescent="0.3">
      <c r="A26" s="6" t="s">
        <v>36</v>
      </c>
      <c r="B26" s="5">
        <v>15000</v>
      </c>
      <c r="C26" s="6">
        <v>5</v>
      </c>
      <c r="D26" s="5">
        <f t="shared" si="3"/>
        <v>75000</v>
      </c>
    </row>
    <row r="27" spans="1:7" ht="14.25" customHeight="1" x14ac:dyDescent="0.3">
      <c r="A27" s="6" t="s">
        <v>37</v>
      </c>
      <c r="B27" s="5">
        <v>20000</v>
      </c>
      <c r="C27" s="6">
        <v>5</v>
      </c>
      <c r="D27" s="5">
        <v>100000</v>
      </c>
    </row>
    <row r="28" spans="1:7" ht="14.25" customHeight="1" x14ac:dyDescent="0.3"/>
    <row r="29" spans="1:7" ht="14.25" customHeight="1" x14ac:dyDescent="0.3"/>
    <row r="30" spans="1:7" ht="14.25" customHeight="1" x14ac:dyDescent="0.3"/>
    <row r="31" spans="1:7" ht="14.25" customHeight="1" x14ac:dyDescent="0.3"/>
    <row r="32" spans="1:7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000"/>
  <sheetViews>
    <sheetView workbookViewId="0">
      <selection activeCell="F47" sqref="F47"/>
    </sheetView>
  </sheetViews>
  <sheetFormatPr baseColWidth="10" defaultColWidth="14.44140625" defaultRowHeight="15" customHeight="1" x14ac:dyDescent="0.3"/>
  <cols>
    <col min="1" max="1" width="28.5546875" customWidth="1"/>
    <col min="2" max="2" width="15.33203125" customWidth="1"/>
    <col min="3" max="6" width="12" customWidth="1"/>
    <col min="7" max="7" width="15" customWidth="1"/>
    <col min="8" max="8" width="17.88671875" customWidth="1"/>
    <col min="9" max="9" width="12.33203125" customWidth="1"/>
    <col min="10" max="10" width="16.33203125" customWidth="1"/>
    <col min="11" max="11" width="16.6640625" customWidth="1"/>
    <col min="12" max="12" width="13" customWidth="1"/>
    <col min="13" max="13" width="10.6640625" customWidth="1"/>
    <col min="14" max="14" width="11.88671875" customWidth="1"/>
    <col min="15" max="16" width="12" customWidth="1"/>
    <col min="17" max="17" width="10.6640625" customWidth="1"/>
    <col min="18" max="18" width="16.6640625" customWidth="1"/>
    <col min="19" max="19" width="14.88671875" customWidth="1"/>
    <col min="20" max="26" width="10.6640625" customWidth="1"/>
  </cols>
  <sheetData>
    <row r="1" spans="1:19" ht="14.25" customHeight="1" x14ac:dyDescent="0.3">
      <c r="A1" s="7" t="s">
        <v>38</v>
      </c>
      <c r="R1" s="2" t="s">
        <v>39</v>
      </c>
      <c r="S1" s="9">
        <f>-B4</f>
        <v>-34000000</v>
      </c>
    </row>
    <row r="2" spans="1:19" ht="14.25" customHeight="1" x14ac:dyDescent="0.3">
      <c r="A2" s="2" t="s">
        <v>40</v>
      </c>
      <c r="B2" s="5">
        <v>35000000</v>
      </c>
      <c r="D2" s="10" t="s">
        <v>41</v>
      </c>
      <c r="R2" s="2" t="s">
        <v>42</v>
      </c>
      <c r="S2" s="9">
        <f>B24</f>
        <v>31391081.911764704</v>
      </c>
    </row>
    <row r="3" spans="1:19" ht="14.25" customHeight="1" x14ac:dyDescent="0.3">
      <c r="A3" s="2" t="s">
        <v>43</v>
      </c>
      <c r="B3" s="5">
        <f>'Plan de costos'!I8</f>
        <v>15549930</v>
      </c>
      <c r="R3" s="2" t="s">
        <v>44</v>
      </c>
      <c r="S3" s="9">
        <f>C24</f>
        <v>28594611.323529407</v>
      </c>
    </row>
    <row r="4" spans="1:19" ht="14.25" customHeight="1" x14ac:dyDescent="0.3">
      <c r="A4" s="2" t="s">
        <v>45</v>
      </c>
      <c r="B4" s="5">
        <v>34000000</v>
      </c>
      <c r="R4" s="2" t="s">
        <v>46</v>
      </c>
      <c r="S4" s="9">
        <f>D24</f>
        <v>26352268.235294111</v>
      </c>
    </row>
    <row r="5" spans="1:19" ht="14.25" customHeight="1" x14ac:dyDescent="0.3">
      <c r="R5" s="2" t="s">
        <v>47</v>
      </c>
      <c r="S5" s="9">
        <f>E24</f>
        <v>20222442.647058815</v>
      </c>
    </row>
    <row r="6" spans="1:19" ht="14.25" customHeight="1" x14ac:dyDescent="0.3">
      <c r="R6" s="2" t="s">
        <v>48</v>
      </c>
      <c r="S6" s="9">
        <f>F24</f>
        <v>23349934.999999993</v>
      </c>
    </row>
    <row r="7" spans="1:19" ht="14.25" customHeight="1" x14ac:dyDescent="0.3">
      <c r="B7" s="2" t="s">
        <v>49</v>
      </c>
      <c r="C7" s="2" t="s">
        <v>50</v>
      </c>
      <c r="D7" s="2" t="s">
        <v>51</v>
      </c>
      <c r="E7" s="2" t="s">
        <v>52</v>
      </c>
      <c r="F7" s="2" t="s">
        <v>53</v>
      </c>
      <c r="G7" s="2" t="s">
        <v>54</v>
      </c>
      <c r="H7" s="2" t="s">
        <v>55</v>
      </c>
      <c r="I7" s="2" t="s">
        <v>56</v>
      </c>
      <c r="J7" s="2" t="s">
        <v>57</v>
      </c>
      <c r="K7" s="2" t="s">
        <v>58</v>
      </c>
      <c r="L7" s="2" t="s">
        <v>59</v>
      </c>
      <c r="M7" s="2" t="s">
        <v>60</v>
      </c>
      <c r="N7" s="2" t="s">
        <v>61</v>
      </c>
      <c r="O7" s="2" t="s">
        <v>62</v>
      </c>
      <c r="P7" s="2" t="s">
        <v>5</v>
      </c>
      <c r="R7" s="2" t="s">
        <v>63</v>
      </c>
      <c r="S7" s="9">
        <f>G24</f>
        <v>20016579.999999993</v>
      </c>
    </row>
    <row r="8" spans="1:19" ht="14.25" customHeight="1" x14ac:dyDescent="0.3">
      <c r="A8" s="7" t="s">
        <v>64</v>
      </c>
      <c r="R8" s="2" t="s">
        <v>65</v>
      </c>
      <c r="S8" s="9">
        <f>H24</f>
        <v>16683224.999999993</v>
      </c>
    </row>
    <row r="9" spans="1:19" ht="14.25" customHeight="1" x14ac:dyDescent="0.3">
      <c r="A9" s="2" t="s">
        <v>0</v>
      </c>
      <c r="B9" s="5">
        <f>B28*4</f>
        <v>1548235.294117647</v>
      </c>
      <c r="C9" s="5">
        <f>B28*4</f>
        <v>1548235.294117647</v>
      </c>
      <c r="D9" s="5">
        <f>B28*4</f>
        <v>1548235.294117647</v>
      </c>
      <c r="E9" s="5">
        <f>B28*4</f>
        <v>1548235.294117647</v>
      </c>
      <c r="F9" s="5">
        <f>B28</f>
        <v>387058.82352941175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f>B9+C9+D9+E9+F9</f>
        <v>6580000</v>
      </c>
      <c r="R9" s="2" t="s">
        <v>66</v>
      </c>
      <c r="S9" s="9">
        <f>I24</f>
        <v>13349869.999999993</v>
      </c>
    </row>
    <row r="10" spans="1:19" ht="14.25" customHeight="1" x14ac:dyDescent="0.3">
      <c r="A10" s="2" t="s">
        <v>10</v>
      </c>
      <c r="B10" s="5">
        <f>'Plan de costos'!E12+'Plan de costos'!E13+'Plan de costos'!E14+'Plan de costos'!C15</f>
        <v>2449930</v>
      </c>
      <c r="C10" s="5">
        <f>'Plan de costos'!C15</f>
        <v>750000</v>
      </c>
      <c r="D10" s="5">
        <f>'Plan de costos'!C15</f>
        <v>750000</v>
      </c>
      <c r="E10" s="5">
        <f>'Plan de costos'!C15</f>
        <v>750000</v>
      </c>
      <c r="F10" s="5">
        <f>'Plan de costos'!C15</f>
        <v>750000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f t="shared" ref="P10:P12" si="0">SUM(B10:F10)</f>
        <v>5449930</v>
      </c>
      <c r="R10" s="2" t="s">
        <v>67</v>
      </c>
      <c r="S10" s="9">
        <f>J24</f>
        <v>10016514.999999993</v>
      </c>
    </row>
    <row r="11" spans="1:19" ht="14.25" customHeight="1" x14ac:dyDescent="0.3">
      <c r="A11" s="2" t="s">
        <v>12</v>
      </c>
      <c r="B11" s="5">
        <f>(B30*4)+'Plan de costos'!D21</f>
        <v>2428235.2941176472</v>
      </c>
      <c r="C11" s="5">
        <f>B30*4</f>
        <v>428235.29411764705</v>
      </c>
      <c r="D11" s="5">
        <f>B30*4</f>
        <v>428235.29411764705</v>
      </c>
      <c r="E11" s="5">
        <f>B30*4</f>
        <v>428235.29411764705</v>
      </c>
      <c r="F11" s="5">
        <f>B30</f>
        <v>107058.82352941176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f t="shared" si="0"/>
        <v>3820000.0000000005</v>
      </c>
      <c r="R11" s="2" t="s">
        <v>68</v>
      </c>
      <c r="S11" s="9">
        <f>K24</f>
        <v>6683159.9999999925</v>
      </c>
    </row>
    <row r="12" spans="1:19" ht="14.25" customHeight="1" x14ac:dyDescent="0.3">
      <c r="A12" s="2" t="s">
        <v>14</v>
      </c>
      <c r="B12" s="5">
        <f>'Plan de costos'!B26+'Plan de costos'!B25+'Plan de costos'!B24</f>
        <v>70000</v>
      </c>
      <c r="C12" s="5">
        <f>'Plan de costos'!B26+'Plan de costos'!B25+'Plan de costos'!B24</f>
        <v>70000</v>
      </c>
      <c r="D12" s="5">
        <f>'Plan de costos'!B26+'Plan de costos'!B25+'Plan de costos'!B24</f>
        <v>70000</v>
      </c>
      <c r="E12" s="5">
        <f>'Plan de costos'!B26+'Plan de costos'!B25+'Plan de costos'!B24</f>
        <v>70000</v>
      </c>
      <c r="F12" s="5">
        <f>'Plan de costos'!B26+'Plan de costos'!B25+'Plan de costos'!B24</f>
        <v>70000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f t="shared" si="0"/>
        <v>350000</v>
      </c>
      <c r="R12" s="2" t="s">
        <v>69</v>
      </c>
      <c r="S12" s="9">
        <f>L24</f>
        <v>3349804.9999999925</v>
      </c>
    </row>
    <row r="13" spans="1:19" ht="14.25" customHeight="1" x14ac:dyDescent="0.3">
      <c r="A13" s="2" t="s">
        <v>70</v>
      </c>
      <c r="B13" s="5">
        <v>0</v>
      </c>
      <c r="C13" s="5">
        <v>0</v>
      </c>
      <c r="D13" s="5">
        <v>3333355</v>
      </c>
      <c r="E13" s="5">
        <v>3333355</v>
      </c>
      <c r="F13" s="5">
        <v>3333355</v>
      </c>
      <c r="G13" s="5">
        <v>3333355</v>
      </c>
      <c r="H13" s="5">
        <v>3333355</v>
      </c>
      <c r="I13" s="5">
        <v>3333355</v>
      </c>
      <c r="J13" s="5">
        <v>3333355</v>
      </c>
      <c r="K13" s="5">
        <v>3333355</v>
      </c>
      <c r="L13" s="5">
        <v>3333355</v>
      </c>
      <c r="M13" s="5">
        <v>3333355</v>
      </c>
      <c r="N13" s="5">
        <v>3333355</v>
      </c>
      <c r="O13" s="5">
        <v>3333355</v>
      </c>
      <c r="P13" s="5">
        <f>SUM(D13:O13)</f>
        <v>40000260</v>
      </c>
      <c r="R13" s="2" t="s">
        <v>71</v>
      </c>
      <c r="S13" s="9">
        <f>M24</f>
        <v>16449.999999992549</v>
      </c>
    </row>
    <row r="14" spans="1:19" ht="14.25" customHeight="1" x14ac:dyDescent="0.3">
      <c r="A14" s="2" t="s">
        <v>72</v>
      </c>
      <c r="B14" s="5">
        <f t="shared" ref="B14:O14" si="1">SUM(B9:B13)</f>
        <v>6496400.5882352944</v>
      </c>
      <c r="C14" s="5">
        <f t="shared" si="1"/>
        <v>2796470.5882352944</v>
      </c>
      <c r="D14" s="5">
        <f t="shared" si="1"/>
        <v>6129825.5882352944</v>
      </c>
      <c r="E14" s="5">
        <f t="shared" si="1"/>
        <v>6129825.5882352944</v>
      </c>
      <c r="F14" s="5">
        <f t="shared" si="1"/>
        <v>4647472.6470588241</v>
      </c>
      <c r="G14" s="5">
        <f t="shared" si="1"/>
        <v>3333355</v>
      </c>
      <c r="H14" s="5">
        <f t="shared" si="1"/>
        <v>3333355</v>
      </c>
      <c r="I14" s="5">
        <f t="shared" si="1"/>
        <v>3333355</v>
      </c>
      <c r="J14" s="5">
        <f t="shared" si="1"/>
        <v>3333355</v>
      </c>
      <c r="K14" s="5">
        <f t="shared" si="1"/>
        <v>3333355</v>
      </c>
      <c r="L14" s="5">
        <f t="shared" si="1"/>
        <v>3333355</v>
      </c>
      <c r="M14" s="5">
        <f t="shared" si="1"/>
        <v>3333355</v>
      </c>
      <c r="N14" s="5">
        <f t="shared" si="1"/>
        <v>3333355</v>
      </c>
      <c r="O14" s="5">
        <f t="shared" si="1"/>
        <v>3333355</v>
      </c>
      <c r="P14" s="6"/>
      <c r="R14" s="2" t="s">
        <v>73</v>
      </c>
      <c r="S14" s="9">
        <f>N24</f>
        <v>-3316905.0000000075</v>
      </c>
    </row>
    <row r="15" spans="1:19" ht="14.25" customHeight="1" x14ac:dyDescent="0.3">
      <c r="R15" s="2" t="s">
        <v>74</v>
      </c>
      <c r="S15" s="9">
        <f>O24</f>
        <v>-6650260.0000000075</v>
      </c>
    </row>
    <row r="16" spans="1:19" ht="14.25" customHeight="1" x14ac:dyDescent="0.3">
      <c r="A16" s="10" t="s">
        <v>75</v>
      </c>
    </row>
    <row r="17" spans="1:19" ht="14.25" customHeight="1" x14ac:dyDescent="0.3">
      <c r="A17" s="7" t="s">
        <v>76</v>
      </c>
    </row>
    <row r="18" spans="1:19" ht="14.25" customHeight="1" x14ac:dyDescent="0.3">
      <c r="A18" s="2" t="s">
        <v>77</v>
      </c>
      <c r="B18" s="5">
        <f>B32</f>
        <v>3887482.5</v>
      </c>
      <c r="C18" s="5">
        <f t="shared" ref="C18:O18" si="2">0</f>
        <v>0</v>
      </c>
      <c r="D18" s="5">
        <f t="shared" si="2"/>
        <v>0</v>
      </c>
      <c r="E18" s="5">
        <f t="shared" si="2"/>
        <v>0</v>
      </c>
      <c r="F18" s="5">
        <f t="shared" si="2"/>
        <v>0</v>
      </c>
      <c r="G18" s="5">
        <f t="shared" si="2"/>
        <v>0</v>
      </c>
      <c r="H18" s="5">
        <f t="shared" si="2"/>
        <v>0</v>
      </c>
      <c r="I18" s="5">
        <f t="shared" si="2"/>
        <v>0</v>
      </c>
      <c r="J18" s="5">
        <f t="shared" si="2"/>
        <v>0</v>
      </c>
      <c r="K18" s="5">
        <f t="shared" si="2"/>
        <v>0</v>
      </c>
      <c r="L18" s="5">
        <f t="shared" si="2"/>
        <v>0</v>
      </c>
      <c r="M18" s="5">
        <f t="shared" si="2"/>
        <v>0</v>
      </c>
      <c r="N18" s="5">
        <f t="shared" si="2"/>
        <v>0</v>
      </c>
      <c r="O18" s="5">
        <f t="shared" si="2"/>
        <v>0</v>
      </c>
    </row>
    <row r="19" spans="1:19" ht="14.25" customHeight="1" x14ac:dyDescent="0.3">
      <c r="A19" s="2" t="s">
        <v>78</v>
      </c>
      <c r="B19" s="5">
        <f t="shared" ref="B19:C19" si="3">0</f>
        <v>0</v>
      </c>
      <c r="C19" s="5">
        <f t="shared" si="3"/>
        <v>0</v>
      </c>
      <c r="D19" s="5">
        <f>B32</f>
        <v>3887482.5</v>
      </c>
      <c r="E19" s="5">
        <f t="shared" ref="E19:O19" si="4">0</f>
        <v>0</v>
      </c>
      <c r="F19" s="5">
        <f t="shared" si="4"/>
        <v>0</v>
      </c>
      <c r="G19" s="5">
        <f t="shared" si="4"/>
        <v>0</v>
      </c>
      <c r="H19" s="5">
        <f t="shared" si="4"/>
        <v>0</v>
      </c>
      <c r="I19" s="5">
        <f t="shared" si="4"/>
        <v>0</v>
      </c>
      <c r="J19" s="5">
        <f t="shared" si="4"/>
        <v>0</v>
      </c>
      <c r="K19" s="5">
        <f t="shared" si="4"/>
        <v>0</v>
      </c>
      <c r="L19" s="5">
        <f t="shared" si="4"/>
        <v>0</v>
      </c>
      <c r="M19" s="5">
        <f t="shared" si="4"/>
        <v>0</v>
      </c>
      <c r="N19" s="5">
        <f t="shared" si="4"/>
        <v>0</v>
      </c>
      <c r="O19" s="5">
        <f t="shared" si="4"/>
        <v>0</v>
      </c>
      <c r="R19" s="2" t="s">
        <v>79</v>
      </c>
      <c r="S19" s="6">
        <v>0.5</v>
      </c>
    </row>
    <row r="20" spans="1:19" ht="14.25" customHeight="1" x14ac:dyDescent="0.3">
      <c r="A20" s="2" t="s">
        <v>80</v>
      </c>
      <c r="B20" s="5">
        <f t="shared" ref="B20:E20" si="5">0</f>
        <v>0</v>
      </c>
      <c r="C20" s="5">
        <f t="shared" si="5"/>
        <v>0</v>
      </c>
      <c r="D20" s="5">
        <f t="shared" si="5"/>
        <v>0</v>
      </c>
      <c r="E20" s="5">
        <f t="shared" si="5"/>
        <v>0</v>
      </c>
      <c r="F20" s="5">
        <f>B33</f>
        <v>7774965</v>
      </c>
      <c r="G20" s="5">
        <f t="shared" ref="G20:O20" si="6">0</f>
        <v>0</v>
      </c>
      <c r="H20" s="5">
        <f t="shared" si="6"/>
        <v>0</v>
      </c>
      <c r="I20" s="5">
        <f t="shared" si="6"/>
        <v>0</v>
      </c>
      <c r="J20" s="5">
        <f t="shared" si="6"/>
        <v>0</v>
      </c>
      <c r="K20" s="5">
        <f t="shared" si="6"/>
        <v>0</v>
      </c>
      <c r="L20" s="5">
        <f t="shared" si="6"/>
        <v>0</v>
      </c>
      <c r="M20" s="5">
        <f t="shared" si="6"/>
        <v>0</v>
      </c>
      <c r="N20" s="5">
        <f t="shared" si="6"/>
        <v>0</v>
      </c>
      <c r="O20" s="5">
        <f t="shared" si="6"/>
        <v>0</v>
      </c>
    </row>
    <row r="21" spans="1:19" ht="14.25" customHeight="1" x14ac:dyDescent="0.3">
      <c r="A21" s="2" t="s">
        <v>81</v>
      </c>
      <c r="B21" s="5">
        <f>B4</f>
        <v>34000000</v>
      </c>
      <c r="C21" s="5">
        <f t="shared" ref="C21:O21" si="7">0</f>
        <v>0</v>
      </c>
      <c r="D21" s="5">
        <f t="shared" si="7"/>
        <v>0</v>
      </c>
      <c r="E21" s="5">
        <f t="shared" si="7"/>
        <v>0</v>
      </c>
      <c r="F21" s="5">
        <f t="shared" si="7"/>
        <v>0</v>
      </c>
      <c r="G21" s="5">
        <f t="shared" si="7"/>
        <v>0</v>
      </c>
      <c r="H21" s="5">
        <f t="shared" si="7"/>
        <v>0</v>
      </c>
      <c r="I21" s="5">
        <f t="shared" si="7"/>
        <v>0</v>
      </c>
      <c r="J21" s="5">
        <f t="shared" si="7"/>
        <v>0</v>
      </c>
      <c r="K21" s="5">
        <f t="shared" si="7"/>
        <v>0</v>
      </c>
      <c r="L21" s="5">
        <f t="shared" si="7"/>
        <v>0</v>
      </c>
      <c r="M21" s="5">
        <f t="shared" si="7"/>
        <v>0</v>
      </c>
      <c r="N21" s="5">
        <f t="shared" si="7"/>
        <v>0</v>
      </c>
      <c r="O21" s="5">
        <f t="shared" si="7"/>
        <v>0</v>
      </c>
      <c r="R21" s="7" t="s">
        <v>82</v>
      </c>
      <c r="S21" s="11">
        <f>IRR(S1:S6)</f>
        <v>0.79843835313052436</v>
      </c>
    </row>
    <row r="22" spans="1:19" ht="14.25" customHeight="1" x14ac:dyDescent="0.3">
      <c r="A22" s="2" t="s">
        <v>83</v>
      </c>
      <c r="B22" s="5">
        <f>B18+B4</f>
        <v>37887482.5</v>
      </c>
      <c r="C22" s="5">
        <f t="shared" ref="C22:O22" si="8">0</f>
        <v>0</v>
      </c>
      <c r="D22" s="5">
        <f t="shared" si="8"/>
        <v>0</v>
      </c>
      <c r="E22" s="5">
        <f t="shared" si="8"/>
        <v>0</v>
      </c>
      <c r="F22" s="5">
        <f t="shared" si="8"/>
        <v>0</v>
      </c>
      <c r="G22" s="5">
        <f t="shared" si="8"/>
        <v>0</v>
      </c>
      <c r="H22" s="5">
        <f t="shared" si="8"/>
        <v>0</v>
      </c>
      <c r="I22" s="5">
        <f t="shared" si="8"/>
        <v>0</v>
      </c>
      <c r="J22" s="5">
        <f t="shared" si="8"/>
        <v>0</v>
      </c>
      <c r="K22" s="5">
        <f t="shared" si="8"/>
        <v>0</v>
      </c>
      <c r="L22" s="5">
        <f t="shared" si="8"/>
        <v>0</v>
      </c>
      <c r="M22" s="5">
        <f t="shared" si="8"/>
        <v>0</v>
      </c>
      <c r="N22" s="5">
        <f t="shared" si="8"/>
        <v>0</v>
      </c>
      <c r="O22" s="5">
        <f t="shared" si="8"/>
        <v>0</v>
      </c>
      <c r="R22" s="7" t="s">
        <v>84</v>
      </c>
      <c r="S22" s="9">
        <f t="array" ref="S22">NPV(S19,S3:S6,S2)+S1</f>
        <v>11513166.154684089</v>
      </c>
    </row>
    <row r="23" spans="1:19" ht="14.25" customHeight="1" x14ac:dyDescent="0.3"/>
    <row r="24" spans="1:19" ht="14.25" customHeight="1" x14ac:dyDescent="0.3">
      <c r="A24" s="7" t="s">
        <v>85</v>
      </c>
      <c r="B24" s="5">
        <f>B22-B14</f>
        <v>31391081.911764704</v>
      </c>
      <c r="C24" s="5">
        <f>B24-C14</f>
        <v>28594611.323529407</v>
      </c>
      <c r="D24" s="5">
        <f>C24+D19-D14</f>
        <v>26352268.235294111</v>
      </c>
      <c r="E24" s="5">
        <f>D24-E14</f>
        <v>20222442.647058815</v>
      </c>
      <c r="F24" s="5">
        <f>E24-F14+F20</f>
        <v>23349934.999999993</v>
      </c>
      <c r="G24" s="5">
        <f t="shared" ref="G24:O24" si="9">F24-G14</f>
        <v>20016579.999999993</v>
      </c>
      <c r="H24" s="5">
        <f t="shared" si="9"/>
        <v>16683224.999999993</v>
      </c>
      <c r="I24" s="5">
        <f t="shared" si="9"/>
        <v>13349869.999999993</v>
      </c>
      <c r="J24" s="5">
        <f t="shared" si="9"/>
        <v>10016514.999999993</v>
      </c>
      <c r="K24" s="5">
        <f t="shared" si="9"/>
        <v>6683159.9999999925</v>
      </c>
      <c r="L24" s="5">
        <f t="shared" si="9"/>
        <v>3349804.9999999925</v>
      </c>
      <c r="M24" s="5">
        <f t="shared" si="9"/>
        <v>16449.999999992549</v>
      </c>
      <c r="N24" s="5">
        <f t="shared" si="9"/>
        <v>-3316905.0000000075</v>
      </c>
      <c r="O24" s="5">
        <f t="shared" si="9"/>
        <v>-6650260.0000000075</v>
      </c>
    </row>
    <row r="25" spans="1:19" ht="14.25" customHeight="1" x14ac:dyDescent="0.3"/>
    <row r="26" spans="1:19" ht="14.25" customHeight="1" x14ac:dyDescent="0.3">
      <c r="A26" s="2" t="s">
        <v>86</v>
      </c>
      <c r="B26" s="12">
        <f>'Plan de costos'!E4 / 19</f>
        <v>8.4210526315789469</v>
      </c>
      <c r="C26" s="6"/>
      <c r="D26" s="6">
        <f>17/4</f>
        <v>4.25</v>
      </c>
      <c r="F26" s="10" t="s">
        <v>87</v>
      </c>
    </row>
    <row r="27" spans="1:19" ht="14.25" customHeight="1" x14ac:dyDescent="0.3">
      <c r="A27" s="2" t="s">
        <v>88</v>
      </c>
      <c r="B27" s="6">
        <v>19</v>
      </c>
      <c r="C27" s="6">
        <f>19*17</f>
        <v>323</v>
      </c>
      <c r="D27" s="6">
        <f>19/5</f>
        <v>3.8</v>
      </c>
      <c r="F27" s="10" t="s">
        <v>89</v>
      </c>
    </row>
    <row r="28" spans="1:19" ht="14.25" customHeight="1" x14ac:dyDescent="0.3">
      <c r="A28" s="2" t="s">
        <v>90</v>
      </c>
      <c r="B28" s="5">
        <f>'Plan de costos'!I4/17</f>
        <v>387058.82352941175</v>
      </c>
      <c r="C28" s="6"/>
      <c r="D28" s="6"/>
    </row>
    <row r="29" spans="1:19" ht="14.25" customHeight="1" x14ac:dyDescent="0.3">
      <c r="A29" s="2" t="s">
        <v>91</v>
      </c>
      <c r="B29" s="6"/>
      <c r="C29" s="6"/>
      <c r="D29" s="6"/>
    </row>
    <row r="30" spans="1:19" ht="14.25" customHeight="1" x14ac:dyDescent="0.3">
      <c r="A30" s="2" t="s">
        <v>92</v>
      </c>
      <c r="B30" s="5">
        <f>C30/17</f>
        <v>107058.82352941176</v>
      </c>
      <c r="C30" s="5">
        <f>'Plan de costos'!I6-'Plan de costos'!D21</f>
        <v>1820000</v>
      </c>
      <c r="D30" s="6"/>
    </row>
    <row r="31" spans="1:19" ht="14.25" customHeight="1" x14ac:dyDescent="0.45">
      <c r="O31" s="7" t="s">
        <v>93</v>
      </c>
      <c r="P31" s="7"/>
      <c r="Q31" s="7"/>
      <c r="R31" s="13">
        <v>0.2172</v>
      </c>
    </row>
    <row r="32" spans="1:19" ht="14.25" customHeight="1" x14ac:dyDescent="0.3">
      <c r="A32" s="2" t="s">
        <v>94</v>
      </c>
      <c r="B32" s="5">
        <f>B3*0.25</f>
        <v>3887482.5</v>
      </c>
    </row>
    <row r="33" spans="1:12" ht="14.25" customHeight="1" x14ac:dyDescent="0.3">
      <c r="A33" s="2" t="s">
        <v>95</v>
      </c>
      <c r="B33" s="5">
        <f>B32*2</f>
        <v>7774965</v>
      </c>
    </row>
    <row r="34" spans="1:12" ht="14.25" customHeight="1" x14ac:dyDescent="0.3"/>
    <row r="35" spans="1:12" ht="14.25" customHeight="1" x14ac:dyDescent="0.3"/>
    <row r="36" spans="1:12" ht="14.25" customHeight="1" x14ac:dyDescent="0.3"/>
    <row r="37" spans="1:12" ht="14.25" customHeight="1" x14ac:dyDescent="0.3">
      <c r="A37" s="7" t="s">
        <v>64</v>
      </c>
      <c r="B37" s="2" t="s">
        <v>49</v>
      </c>
      <c r="C37" s="2" t="s">
        <v>50</v>
      </c>
      <c r="D37" s="2" t="s">
        <v>51</v>
      </c>
      <c r="E37" s="2" t="s">
        <v>52</v>
      </c>
      <c r="F37" s="2" t="s">
        <v>53</v>
      </c>
      <c r="H37" s="7" t="s">
        <v>38</v>
      </c>
      <c r="K37" s="7" t="s">
        <v>96</v>
      </c>
    </row>
    <row r="38" spans="1:12" ht="14.25" customHeight="1" x14ac:dyDescent="0.3">
      <c r="A38" s="2" t="s">
        <v>0</v>
      </c>
      <c r="B38" s="9">
        <f t="shared" ref="B38:F38" si="10">B9</f>
        <v>1548235.294117647</v>
      </c>
      <c r="C38" s="9">
        <f t="shared" si="10"/>
        <v>1548235.294117647</v>
      </c>
      <c r="D38" s="9">
        <f t="shared" si="10"/>
        <v>1548235.294117647</v>
      </c>
      <c r="E38" s="9">
        <f t="shared" si="10"/>
        <v>1548235.294117647</v>
      </c>
      <c r="F38" s="9">
        <f t="shared" si="10"/>
        <v>387058.82352941175</v>
      </c>
      <c r="H38" s="2" t="s">
        <v>40</v>
      </c>
      <c r="I38" s="9">
        <f t="shared" ref="I38:I40" si="11">B2</f>
        <v>35000000</v>
      </c>
      <c r="K38" s="2" t="s">
        <v>39</v>
      </c>
      <c r="L38" s="9">
        <f t="shared" ref="L38:L43" si="12">S1</f>
        <v>-34000000</v>
      </c>
    </row>
    <row r="39" spans="1:12" ht="14.25" customHeight="1" x14ac:dyDescent="0.3">
      <c r="A39" s="2" t="s">
        <v>10</v>
      </c>
      <c r="B39" s="9">
        <f t="shared" ref="B39:F39" si="13">B10</f>
        <v>2449930</v>
      </c>
      <c r="C39" s="9">
        <f t="shared" si="13"/>
        <v>750000</v>
      </c>
      <c r="D39" s="9">
        <f t="shared" si="13"/>
        <v>750000</v>
      </c>
      <c r="E39" s="9">
        <f t="shared" si="13"/>
        <v>750000</v>
      </c>
      <c r="F39" s="9">
        <f t="shared" si="13"/>
        <v>750000</v>
      </c>
      <c r="H39" s="2" t="s">
        <v>43</v>
      </c>
      <c r="I39" s="9">
        <f t="shared" si="11"/>
        <v>15549930</v>
      </c>
      <c r="K39" s="2" t="s">
        <v>42</v>
      </c>
      <c r="L39" s="9">
        <f t="shared" si="12"/>
        <v>31391081.911764704</v>
      </c>
    </row>
    <row r="40" spans="1:12" ht="14.25" customHeight="1" x14ac:dyDescent="0.3">
      <c r="A40" s="2" t="s">
        <v>12</v>
      </c>
      <c r="B40" s="9">
        <f t="shared" ref="B40:F40" si="14">B11</f>
        <v>2428235.2941176472</v>
      </c>
      <c r="C40" s="9">
        <f t="shared" si="14"/>
        <v>428235.29411764705</v>
      </c>
      <c r="D40" s="9">
        <f t="shared" si="14"/>
        <v>428235.29411764705</v>
      </c>
      <c r="E40" s="9">
        <f t="shared" si="14"/>
        <v>428235.29411764705</v>
      </c>
      <c r="F40" s="9">
        <f t="shared" si="14"/>
        <v>107058.82352941176</v>
      </c>
      <c r="H40" s="2" t="s">
        <v>45</v>
      </c>
      <c r="I40" s="9">
        <f t="shared" si="11"/>
        <v>34000000</v>
      </c>
      <c r="K40" s="2" t="s">
        <v>44</v>
      </c>
      <c r="L40" s="9">
        <f t="shared" si="12"/>
        <v>28594611.323529407</v>
      </c>
    </row>
    <row r="41" spans="1:12" ht="14.25" customHeight="1" x14ac:dyDescent="0.3">
      <c r="A41" s="2" t="s">
        <v>14</v>
      </c>
      <c r="B41" s="9">
        <f t="shared" ref="B41:F41" si="15">B12</f>
        <v>70000</v>
      </c>
      <c r="C41" s="9">
        <f t="shared" si="15"/>
        <v>70000</v>
      </c>
      <c r="D41" s="9">
        <f t="shared" si="15"/>
        <v>70000</v>
      </c>
      <c r="E41" s="9">
        <f t="shared" si="15"/>
        <v>70000</v>
      </c>
      <c r="F41" s="9">
        <f t="shared" si="15"/>
        <v>70000</v>
      </c>
      <c r="H41" s="14"/>
      <c r="I41" s="6"/>
      <c r="K41" s="2" t="s">
        <v>46</v>
      </c>
      <c r="L41" s="9">
        <f t="shared" si="12"/>
        <v>26352268.235294111</v>
      </c>
    </row>
    <row r="42" spans="1:12" ht="14.25" customHeight="1" x14ac:dyDescent="0.3">
      <c r="A42" s="2" t="s">
        <v>70</v>
      </c>
      <c r="B42" s="9">
        <f t="shared" ref="B42:F42" si="16">B13</f>
        <v>0</v>
      </c>
      <c r="C42" s="9">
        <f t="shared" si="16"/>
        <v>0</v>
      </c>
      <c r="D42" s="9">
        <f t="shared" si="16"/>
        <v>3333355</v>
      </c>
      <c r="E42" s="9">
        <f t="shared" si="16"/>
        <v>3333355</v>
      </c>
      <c r="F42" s="9">
        <f t="shared" si="16"/>
        <v>3333355</v>
      </c>
      <c r="H42" s="2" t="s">
        <v>97</v>
      </c>
      <c r="I42" s="6">
        <v>14</v>
      </c>
      <c r="K42" s="2" t="s">
        <v>47</v>
      </c>
      <c r="L42" s="9">
        <f t="shared" si="12"/>
        <v>20222442.647058815</v>
      </c>
    </row>
    <row r="43" spans="1:12" ht="14.25" customHeight="1" x14ac:dyDescent="0.3">
      <c r="A43" s="2" t="s">
        <v>72</v>
      </c>
      <c r="B43" s="9">
        <f t="shared" ref="B43:F43" si="17">B14</f>
        <v>6496400.5882352944</v>
      </c>
      <c r="C43" s="9">
        <f t="shared" si="17"/>
        <v>2796470.5882352944</v>
      </c>
      <c r="D43" s="9">
        <f t="shared" si="17"/>
        <v>6129825.5882352944</v>
      </c>
      <c r="E43" s="9">
        <f t="shared" si="17"/>
        <v>6129825.5882352944</v>
      </c>
      <c r="F43" s="9">
        <f t="shared" si="17"/>
        <v>4647472.6470588241</v>
      </c>
      <c r="H43" s="2" t="s">
        <v>98</v>
      </c>
      <c r="I43" s="9">
        <f>P13</f>
        <v>40000260</v>
      </c>
      <c r="K43" s="2" t="s">
        <v>48</v>
      </c>
      <c r="L43" s="9">
        <f t="shared" si="12"/>
        <v>23349934.999999993</v>
      </c>
    </row>
    <row r="44" spans="1:12" ht="14.25" customHeight="1" x14ac:dyDescent="0.3">
      <c r="A44" s="7" t="s">
        <v>76</v>
      </c>
      <c r="B44" s="15"/>
      <c r="C44" s="15"/>
      <c r="D44" s="15"/>
      <c r="E44" s="15"/>
      <c r="F44" s="15"/>
      <c r="H44" s="2" t="s">
        <v>99</v>
      </c>
      <c r="I44" s="9">
        <f>O13</f>
        <v>3333355</v>
      </c>
      <c r="K44" s="7" t="s">
        <v>79</v>
      </c>
      <c r="L44" s="6">
        <f>S19</f>
        <v>0.5</v>
      </c>
    </row>
    <row r="45" spans="1:12" ht="14.25" customHeight="1" x14ac:dyDescent="0.3">
      <c r="A45" s="2" t="s">
        <v>77</v>
      </c>
      <c r="B45" s="5">
        <f t="shared" ref="B45:F45" si="18">B18</f>
        <v>3887482.5</v>
      </c>
      <c r="C45" s="5">
        <f t="shared" si="18"/>
        <v>0</v>
      </c>
      <c r="D45" s="5">
        <f t="shared" si="18"/>
        <v>0</v>
      </c>
      <c r="E45" s="5">
        <f t="shared" si="18"/>
        <v>0</v>
      </c>
      <c r="F45" s="5">
        <f t="shared" si="18"/>
        <v>0</v>
      </c>
      <c r="H45" s="2" t="s">
        <v>100</v>
      </c>
      <c r="I45" s="11">
        <f>R31</f>
        <v>0.2172</v>
      </c>
      <c r="K45" s="7" t="s">
        <v>82</v>
      </c>
      <c r="L45" s="11">
        <f t="shared" ref="L45:L46" si="19">S21</f>
        <v>0.79843835313052436</v>
      </c>
    </row>
    <row r="46" spans="1:12" ht="14.25" customHeight="1" x14ac:dyDescent="0.3">
      <c r="A46" s="2" t="s">
        <v>78</v>
      </c>
      <c r="B46" s="5">
        <f t="shared" ref="B46:F46" si="20">B19</f>
        <v>0</v>
      </c>
      <c r="C46" s="5">
        <f t="shared" si="20"/>
        <v>0</v>
      </c>
      <c r="D46" s="5">
        <f t="shared" si="20"/>
        <v>3887482.5</v>
      </c>
      <c r="E46" s="5">
        <f t="shared" si="20"/>
        <v>0</v>
      </c>
      <c r="F46" s="5">
        <f t="shared" si="20"/>
        <v>0</v>
      </c>
      <c r="K46" s="7" t="s">
        <v>84</v>
      </c>
      <c r="L46" s="9">
        <f t="shared" si="19"/>
        <v>11513166.154684089</v>
      </c>
    </row>
    <row r="47" spans="1:12" ht="14.25" customHeight="1" x14ac:dyDescent="0.3">
      <c r="A47" s="2" t="s">
        <v>80</v>
      </c>
      <c r="B47" s="5">
        <f t="shared" ref="B47:F47" si="21">B20</f>
        <v>0</v>
      </c>
      <c r="C47" s="5">
        <f t="shared" si="21"/>
        <v>0</v>
      </c>
      <c r="D47" s="5">
        <f t="shared" si="21"/>
        <v>0</v>
      </c>
      <c r="E47" s="5">
        <f t="shared" si="21"/>
        <v>0</v>
      </c>
      <c r="F47" s="5">
        <f t="shared" si="21"/>
        <v>7774965</v>
      </c>
    </row>
    <row r="48" spans="1:12" ht="14.25" customHeight="1" x14ac:dyDescent="0.3">
      <c r="A48" s="2" t="s">
        <v>81</v>
      </c>
      <c r="B48" s="5">
        <f t="shared" ref="B48:F48" si="22">B21</f>
        <v>34000000</v>
      </c>
      <c r="C48" s="5">
        <f t="shared" si="22"/>
        <v>0</v>
      </c>
      <c r="D48" s="5">
        <f t="shared" si="22"/>
        <v>0</v>
      </c>
      <c r="E48" s="5">
        <f t="shared" si="22"/>
        <v>0</v>
      </c>
      <c r="F48" s="5">
        <f t="shared" si="22"/>
        <v>0</v>
      </c>
    </row>
    <row r="49" spans="1:6" ht="14.25" customHeight="1" x14ac:dyDescent="0.3">
      <c r="A49" s="2" t="s">
        <v>83</v>
      </c>
      <c r="B49" s="5">
        <f t="shared" ref="B49:F49" si="23">B22</f>
        <v>37887482.5</v>
      </c>
      <c r="C49" s="5">
        <f t="shared" si="23"/>
        <v>0</v>
      </c>
      <c r="D49" s="5">
        <f t="shared" si="23"/>
        <v>0</v>
      </c>
      <c r="E49" s="5">
        <f t="shared" si="23"/>
        <v>0</v>
      </c>
      <c r="F49" s="5">
        <f t="shared" si="23"/>
        <v>0</v>
      </c>
    </row>
    <row r="50" spans="1:6" ht="14.25" customHeight="1" x14ac:dyDescent="0.3">
      <c r="A50" s="7" t="s">
        <v>85</v>
      </c>
      <c r="B50" s="9">
        <f t="shared" ref="B50:F50" si="24">B24</f>
        <v>31391081.911764704</v>
      </c>
      <c r="C50" s="9">
        <f t="shared" si="24"/>
        <v>28594611.323529407</v>
      </c>
      <c r="D50" s="9">
        <f t="shared" si="24"/>
        <v>26352268.235294111</v>
      </c>
      <c r="E50" s="9">
        <f t="shared" si="24"/>
        <v>20222442.647058815</v>
      </c>
      <c r="F50" s="9">
        <f t="shared" si="24"/>
        <v>23349934.999999993</v>
      </c>
    </row>
    <row r="51" spans="1:6" ht="14.25" customHeight="1" x14ac:dyDescent="0.3">
      <c r="B51" s="8"/>
      <c r="C51" s="8"/>
      <c r="D51" s="8"/>
      <c r="E51" s="8"/>
      <c r="F51" s="8"/>
    </row>
    <row r="52" spans="1:6" ht="14.25" customHeight="1" x14ac:dyDescent="0.3">
      <c r="B52" s="8"/>
      <c r="C52" s="8"/>
      <c r="D52" s="8"/>
      <c r="E52" s="8"/>
      <c r="F52" s="8"/>
    </row>
    <row r="53" spans="1:6" ht="14.25" customHeight="1" x14ac:dyDescent="0.3">
      <c r="B53" s="8"/>
      <c r="C53" s="8"/>
      <c r="D53" s="8"/>
      <c r="E53" s="8"/>
      <c r="F53" s="8"/>
    </row>
    <row r="54" spans="1:6" ht="14.25" customHeight="1" x14ac:dyDescent="0.3">
      <c r="B54" s="8"/>
      <c r="C54" s="8"/>
      <c r="D54" s="8"/>
      <c r="E54" s="8"/>
      <c r="F54" s="8"/>
    </row>
    <row r="55" spans="1:6" ht="14.25" customHeight="1" x14ac:dyDescent="0.3">
      <c r="B55" s="8"/>
      <c r="C55" s="8"/>
      <c r="D55" s="8"/>
      <c r="E55" s="8"/>
      <c r="F55" s="8"/>
    </row>
    <row r="56" spans="1:6" ht="14.25" customHeight="1" x14ac:dyDescent="0.3"/>
    <row r="57" spans="1:6" ht="14.25" customHeight="1" x14ac:dyDescent="0.3">
      <c r="B57" s="8"/>
      <c r="C57" s="8"/>
      <c r="D57" s="8"/>
      <c r="E57" s="8"/>
      <c r="F57" s="8"/>
    </row>
    <row r="58" spans="1:6" ht="14.25" customHeight="1" x14ac:dyDescent="0.3"/>
    <row r="59" spans="1:6" ht="14.25" customHeight="1" x14ac:dyDescent="0.3"/>
    <row r="60" spans="1:6" ht="14.25" customHeight="1" x14ac:dyDescent="0.3"/>
    <row r="61" spans="1:6" ht="14.25" customHeight="1" x14ac:dyDescent="0.3"/>
    <row r="62" spans="1:6" ht="14.25" customHeight="1" x14ac:dyDescent="0.3"/>
    <row r="63" spans="1:6" ht="14.25" customHeight="1" x14ac:dyDescent="0.3"/>
    <row r="64" spans="1:6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 de costos</vt:lpstr>
      <vt:lpstr>Flujo de caja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Cabrera</dc:creator>
  <cp:lastModifiedBy>benluk rivadeneira</cp:lastModifiedBy>
  <dcterms:created xsi:type="dcterms:W3CDTF">2015-06-05T18:17:20Z</dcterms:created>
  <dcterms:modified xsi:type="dcterms:W3CDTF">2025-11-26T02:51:27Z</dcterms:modified>
</cp:coreProperties>
</file>